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<sst xmlns="http://schemas.openxmlformats.org/spreadsheetml/2006/main" count="10" uniqueCount="10">
  <si>
    <t>Channel</t>
  </si>
  <si>
    <t>Visitors</t>
  </si>
  <si>
    <t>Buyers</t>
  </si>
  <si>
    <t>Conversion</t>
  </si>
  <si>
    <t>organic</t>
  </si>
  <si>
    <t>cpc</t>
  </si>
  <si>
    <t>Combined rate</t>
  </si>
  <si>
    <t>Standard error</t>
  </si>
  <si>
    <t>z-score</t>
  </si>
  <si>
    <t>p-value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</si>
</sst>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0.000"/>
  </numFmts>
  <fonts count="3">
    <font>
      <sz val="10.0"/>
      <color rgb="FF000000"/>
      <name val="Arial"/>
      <scheme val="minor"/>
    </font>
    <font>
      <b/>
      <color theme="1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5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2" numFmtId="0" xfId="0" applyAlignment="1" applyFont="1">
      <alignment readingOrder="0"/>
    </xf>
    <xf borderId="0" fillId="0" fontId="2" numFmtId="164" xfId="0" applyFont="1" applyNumberFormat="1"/>
    <xf borderId="0" fillId="0" fontId="2" numFmtId="2" xfId="0" applyFont="1" applyNumberForma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</row>
    <row r="2">
      <c r="A2" s="2" t="s">
        <v>4</v>
      </c>
      <c r="B2" s="2">
        <v>98625.0</v>
      </c>
      <c r="C2" s="2">
        <v>874.0</v>
      </c>
      <c r="D2" s="3">
        <f t="shared" ref="D2:D3" si="1">C2/B2</f>
        <v>0.008861850444</v>
      </c>
    </row>
    <row r="3">
      <c r="A3" s="2" t="s">
        <v>5</v>
      </c>
      <c r="B3" s="2">
        <v>13409.0</v>
      </c>
      <c r="C3" s="2">
        <v>92.0</v>
      </c>
      <c r="D3" s="3">
        <f t="shared" si="1"/>
        <v>0.006861063465</v>
      </c>
    </row>
    <row r="5">
      <c r="A5" s="2" t="s">
        <v>6</v>
      </c>
      <c r="B5" s="3">
        <f>(C2+C3)/(B2+B3)</f>
        <v>0.008622382491</v>
      </c>
    </row>
    <row r="6">
      <c r="A6" s="2" t="s">
        <v>7</v>
      </c>
      <c r="B6" s="3">
        <f>SQRT(B5*(1-B5)*(1/B2+1/B3))</f>
        <v>0.0008509742416</v>
      </c>
    </row>
    <row r="7">
      <c r="A7" s="2" t="s">
        <v>8</v>
      </c>
      <c r="B7" s="4">
        <f>(D2-D3)/B6</f>
        <v>2.351172199</v>
      </c>
    </row>
    <row r="8">
      <c r="A8" s="2" t="s">
        <v>9</v>
      </c>
      <c r="B8" s="4">
        <f>2*(1-_xlfn.NORM.S.DIST(ABS(B7),TRUE))</f>
        <v>0.0187143709</v>
      </c>
    </row>
  </sheetData>
  <drawing r:id="rId1"/>
</worksheet>
</file>